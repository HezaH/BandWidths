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bsea7-my.sharepoint.com/personal/helio_souza_subsea7_com/Documents/Area de Trabalho/CEFET/Mestrado/Tese/Repo_BandWidth/BandWidths/article_code/data/newdata/comparison/"/>
    </mc:Choice>
  </mc:AlternateContent>
  <xr:revisionPtr revIDLastSave="4" documentId="14_{83D16BE4-7042-442F-A4E0-3CBAAE9BD3A7}" xr6:coauthVersionLast="47" xr6:coauthVersionMax="47" xr10:uidLastSave="{9EB3A5FB-6D9E-49D9-B79F-AABEAE038B68}"/>
  <bookViews>
    <workbookView xWindow="-110" yWindow="-110" windowWidth="19420" windowHeight="10300" xr2:uid="{C3064AC5-9A1A-45FE-83B7-90E095DC3EF2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Sheet1!$C$3:$D$39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 a="1"/>
  <c r="E5" i="1" s="1"/>
  <c r="E6" i="1" a="1"/>
  <c r="E6" i="1" s="1"/>
  <c r="E7" i="1" a="1"/>
  <c r="E7" i="1" s="1"/>
  <c r="E8" i="1" a="1"/>
  <c r="E8" i="1" s="1"/>
  <c r="E9" i="1" a="1"/>
  <c r="E9" i="1" s="1"/>
  <c r="E10" i="1" a="1"/>
  <c r="E10" i="1" s="1"/>
  <c r="E11" i="1" a="1"/>
  <c r="E11" i="1" s="1"/>
  <c r="E12" i="1" a="1"/>
  <c r="E12" i="1" s="1"/>
  <c r="E13" i="1" a="1"/>
  <c r="E13" i="1"/>
  <c r="E14" i="1" a="1"/>
  <c r="E14" i="1" s="1"/>
  <c r="E15" i="1" a="1"/>
  <c r="E15" i="1" s="1"/>
  <c r="E16" i="1" a="1"/>
  <c r="E16" i="1" s="1"/>
  <c r="E17" i="1" a="1"/>
  <c r="E17" i="1" s="1"/>
  <c r="E18" i="1" a="1"/>
  <c r="E18" i="1" s="1"/>
  <c r="E19" i="1" a="1"/>
  <c r="E19" i="1" s="1"/>
  <c r="E20" i="1" a="1"/>
  <c r="E20" i="1"/>
  <c r="E21" i="1" a="1"/>
  <c r="E21" i="1" s="1"/>
  <c r="E22" i="1" a="1"/>
  <c r="E22" i="1" s="1"/>
  <c r="E23" i="1" a="1"/>
  <c r="E23" i="1" s="1"/>
  <c r="E24" i="1" a="1"/>
  <c r="E24" i="1" s="1"/>
  <c r="E25" i="1" a="1"/>
  <c r="E25" i="1" s="1"/>
  <c r="E26" i="1" a="1"/>
  <c r="E26" i="1" s="1"/>
  <c r="E27" i="1" a="1"/>
  <c r="E27" i="1" s="1"/>
  <c r="E28" i="1" a="1"/>
  <c r="E28" i="1"/>
  <c r="E29" i="1" a="1"/>
  <c r="E29" i="1" s="1"/>
  <c r="E30" i="1" a="1"/>
  <c r="E30" i="1" s="1"/>
  <c r="E31" i="1" a="1"/>
  <c r="E31" i="1" s="1"/>
  <c r="E32" i="1" a="1"/>
  <c r="E32" i="1" s="1"/>
  <c r="E33" i="1" a="1"/>
  <c r="E33" i="1" s="1"/>
  <c r="E34" i="1" a="1"/>
  <c r="E34" i="1" s="1"/>
  <c r="E35" i="1" a="1"/>
  <c r="E35" i="1" s="1"/>
  <c r="E36" i="1" a="1"/>
  <c r="E36" i="1"/>
  <c r="E37" i="1" a="1"/>
  <c r="E37" i="1" s="1"/>
  <c r="E38" i="1" a="1"/>
  <c r="E38" i="1" s="1"/>
  <c r="E39" i="1" a="1"/>
  <c r="E39" i="1"/>
  <c r="E4" i="1" a="1"/>
  <c r="E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<sst xmlns="http://schemas.openxmlformats.org/spreadsheetml/2006/main" count="41" uniqueCount="41">
  <si>
    <t>bcsstk01</t>
  </si>
  <si>
    <t>bcsstk02</t>
  </si>
  <si>
    <t>bcsstk04</t>
  </si>
  <si>
    <t>bcsstk05</t>
  </si>
  <si>
    <t>bcsstk06</t>
  </si>
  <si>
    <t>bcsstk07</t>
  </si>
  <si>
    <t>bfwa62</t>
  </si>
  <si>
    <t>bcsstk13</t>
  </si>
  <si>
    <t>bfwa398</t>
  </si>
  <si>
    <t>bfwa782</t>
  </si>
  <si>
    <t>bp_0</t>
  </si>
  <si>
    <t>bp_200</t>
  </si>
  <si>
    <t>bp_400</t>
  </si>
  <si>
    <t>bp_600</t>
  </si>
  <si>
    <t>bp_800</t>
  </si>
  <si>
    <t>bp_1000</t>
  </si>
  <si>
    <t>bp_1200</t>
  </si>
  <si>
    <t>bp_1400</t>
  </si>
  <si>
    <t>bp_1600</t>
  </si>
  <si>
    <t>dw256A</t>
  </si>
  <si>
    <t>dw256B</t>
  </si>
  <si>
    <t>dw1024</t>
  </si>
  <si>
    <t>dw4096</t>
  </si>
  <si>
    <t>lshp_265</t>
  </si>
  <si>
    <t>lshp_409</t>
  </si>
  <si>
    <t>lshp1009</t>
  </si>
  <si>
    <t>lshp1270</t>
  </si>
  <si>
    <t>lshp1561</t>
  </si>
  <si>
    <t>lshp1882</t>
  </si>
  <si>
    <t>lshp2233</t>
  </si>
  <si>
    <t>lshp2614</t>
  </si>
  <si>
    <t>lshp3025</t>
  </si>
  <si>
    <t>lshp3466</t>
  </si>
  <si>
    <t>orsirr_1</t>
  </si>
  <si>
    <t>orsirr_2</t>
  </si>
  <si>
    <t>shl_0</t>
  </si>
  <si>
    <t>Matriz</t>
  </si>
  <si>
    <t>Best Sol</t>
  </si>
  <si>
    <t>Hélio</t>
  </si>
  <si>
    <t>Q-MCH (artigo)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</si>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</sst>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CF1A8-7B7A-4764-9721-D783EA60B9D0}">
  <sheetPr filterMode="1"/>
  <dimension ref="B2:E39"/>
  <sheetViews>
    <sheetView showGridLines="0" tabSelected="1" topLeftCell="A2" zoomScale="70" zoomScaleNormal="70" workbookViewId="0">
      <selection activeCell="E5" sqref="E5"/>
    </sheetView>
  </sheetViews>
  <sheetFormatPr defaultRowHeight="14.5" x14ac:dyDescent="0.35"/>
  <cols>
    <col min="2" max="2" width="22" style="1" customWidth="1"/>
    <col min="3" max="3" width="10.81640625" customWidth="1"/>
  </cols>
  <sheetData>
    <row r="2" spans="2:5" x14ac:dyDescent="0.35">
      <c r="C2" s="6" t="s">
        <v>37</v>
      </c>
      <c r="D2" s="6"/>
    </row>
    <row r="3" spans="2:5" ht="29" x14ac:dyDescent="0.35">
      <c r="B3" s="4" t="s">
        <v>36</v>
      </c>
      <c r="C3" s="5" t="s">
        <v>39</v>
      </c>
      <c r="D3" s="4" t="s">
        <v>38</v>
      </c>
      <c r="E3" s="2" t="s">
        <v>40</v>
      </c>
    </row>
    <row r="4" spans="2:5" x14ac:dyDescent="0.35">
      <c r="B4" s="2" t="s">
        <v>0</v>
      </c>
      <c r="C4" s="3">
        <v>28</v>
      </c>
      <c r="D4" s="3">
        <v>28</v>
      </c>
      <c r="E4" s="2" cm="1">
        <f t="array" ref="E4">_xlfn.IFS($C4="", 0,$C4=$D4, 0,$C4&lt;$D4,-1,$C4&gt;$D4, 1)</f>
        <v>0</v>
      </c>
    </row>
    <row r="5" spans="2:5" x14ac:dyDescent="0.35">
      <c r="B5" s="2" t="s">
        <v>1</v>
      </c>
      <c r="C5" s="3">
        <v>65</v>
      </c>
      <c r="D5" s="3">
        <v>65</v>
      </c>
      <c r="E5" s="2" cm="1">
        <f t="array" ref="E5">_xlfn.IFS($C5="", 0,$C5=$D5, 0,$C5&lt;$D5,-1,$C5&gt;$D5, 1)</f>
        <v>0</v>
      </c>
    </row>
    <row r="6" spans="2:5" x14ac:dyDescent="0.35">
      <c r="B6" s="2" t="s">
        <v>2</v>
      </c>
      <c r="C6" s="3">
        <v>58</v>
      </c>
      <c r="D6" s="3">
        <v>61</v>
      </c>
      <c r="E6" s="2" cm="1">
        <f t="array" ref="E6">_xlfn.IFS($C6="", 0,$C6=$D6, 0,$C6&lt;$D6,-1,$C6&gt;$D6, 1)</f>
        <v>-1</v>
      </c>
    </row>
    <row r="7" spans="2:5" x14ac:dyDescent="0.35">
      <c r="B7" s="2" t="s">
        <v>3</v>
      </c>
      <c r="C7" s="3">
        <v>31</v>
      </c>
      <c r="D7" s="3">
        <v>29</v>
      </c>
      <c r="E7" s="2" cm="1">
        <f t="array" ref="E7">_xlfn.IFS($C7="", 0,$C7=$D7, 0,$C7&lt;$D7,-1,$C7&gt;$D7, 1)</f>
        <v>1</v>
      </c>
    </row>
    <row r="8" spans="2:5" x14ac:dyDescent="0.35">
      <c r="B8" s="2" t="s">
        <v>4</v>
      </c>
      <c r="C8" s="3">
        <v>78</v>
      </c>
      <c r="D8" s="3">
        <v>77</v>
      </c>
      <c r="E8" s="2" cm="1">
        <f t="array" ref="E8">_xlfn.IFS($C8="", 0,$C8=$D8, 0,$C8&lt;$D8,-1,$C8&gt;$D8, 1)</f>
        <v>1</v>
      </c>
    </row>
    <row r="9" spans="2:5" x14ac:dyDescent="0.35">
      <c r="B9" s="2" t="s">
        <v>5</v>
      </c>
      <c r="C9" s="3">
        <v>76</v>
      </c>
      <c r="D9" s="3">
        <v>80</v>
      </c>
      <c r="E9" s="2" cm="1">
        <f t="array" ref="E9">_xlfn.IFS($C9="", 0,$C9=$D9, 0,$C9&lt;$D9,-1,$C9&gt;$D9, 1)</f>
        <v>-1</v>
      </c>
    </row>
    <row r="10" spans="2:5" hidden="1" x14ac:dyDescent="0.35">
      <c r="B10" s="2" t="s">
        <v>7</v>
      </c>
      <c r="C10" s="3"/>
      <c r="D10" s="3">
        <v>600</v>
      </c>
      <c r="E10" s="2" cm="1">
        <f t="array" ref="E10">_xlfn.IFS($C10="", 0,$C10=$D10, 0,$C10&lt;$D10,-1,$C10&gt;$D10, 1)</f>
        <v>0</v>
      </c>
    </row>
    <row r="11" spans="2:5" hidden="1" x14ac:dyDescent="0.35">
      <c r="B11" s="2" t="s">
        <v>6</v>
      </c>
      <c r="C11" s="3"/>
      <c r="D11" s="3">
        <v>24</v>
      </c>
      <c r="E11" s="2" cm="1">
        <f t="array" ref="E11">_xlfn.IFS($C11="", 0,$C11=$D11, 0,$C11&lt;$D11,-1,$C11&gt;$D11, 1)</f>
        <v>0</v>
      </c>
    </row>
    <row r="12" spans="2:5" hidden="1" x14ac:dyDescent="0.35">
      <c r="B12" s="2" t="s">
        <v>8</v>
      </c>
      <c r="C12" s="3"/>
      <c r="D12" s="3">
        <v>101</v>
      </c>
      <c r="E12" s="2" cm="1">
        <f t="array" ref="E12">_xlfn.IFS($C12="", 0,$C12=$D12, 0,$C12&lt;$D12,-1,$C12&gt;$D12, 1)</f>
        <v>0</v>
      </c>
    </row>
    <row r="13" spans="2:5" hidden="1" x14ac:dyDescent="0.35">
      <c r="B13" s="2" t="s">
        <v>9</v>
      </c>
      <c r="C13" s="3"/>
      <c r="D13" s="3">
        <v>138</v>
      </c>
      <c r="E13" s="2" cm="1">
        <f t="array" ref="E13">_xlfn.IFS($C13="", 0,$C13=$D13, 0,$C13&lt;$D13,-1,$C13&gt;$D13, 1)</f>
        <v>0</v>
      </c>
    </row>
    <row r="14" spans="2:5" x14ac:dyDescent="0.35">
      <c r="B14" s="2" t="s">
        <v>10</v>
      </c>
      <c r="C14" s="3">
        <v>585</v>
      </c>
      <c r="D14" s="3">
        <v>569</v>
      </c>
      <c r="E14" s="2" cm="1">
        <f t="array" ref="E14">_xlfn.IFS($C14="", 0,$C14=$D14, 0,$C14&lt;$D14,-1,$C14&gt;$D14, 1)</f>
        <v>1</v>
      </c>
    </row>
    <row r="15" spans="2:5" x14ac:dyDescent="0.35">
      <c r="B15" s="2" t="s">
        <v>11</v>
      </c>
      <c r="C15" s="3">
        <v>596</v>
      </c>
      <c r="D15" s="3">
        <v>596</v>
      </c>
      <c r="E15" s="2" cm="1">
        <f t="array" ref="E15">_xlfn.IFS($C15="", 0,$C15=$D15, 0,$C15&lt;$D15,-1,$C15&gt;$D15, 1)</f>
        <v>0</v>
      </c>
    </row>
    <row r="16" spans="2:5" x14ac:dyDescent="0.35">
      <c r="B16" s="2" t="s">
        <v>12</v>
      </c>
      <c r="C16" s="3">
        <v>621</v>
      </c>
      <c r="D16" s="3">
        <v>629</v>
      </c>
      <c r="E16" s="2" cm="1">
        <f t="array" ref="E16">_xlfn.IFS($C16="", 0,$C16=$D16, 0,$C16&lt;$D16,-1,$C16&gt;$D16, 1)</f>
        <v>-1</v>
      </c>
    </row>
    <row r="17" spans="2:5" x14ac:dyDescent="0.35">
      <c r="B17" s="2" t="s">
        <v>13</v>
      </c>
      <c r="C17" s="3">
        <v>631</v>
      </c>
      <c r="D17" s="3">
        <v>631</v>
      </c>
      <c r="E17" s="2" cm="1">
        <f t="array" ref="E17">_xlfn.IFS($C17="", 0,$C17=$D17, 0,$C17&lt;$D17,-1,$C17&gt;$D17, 1)</f>
        <v>0</v>
      </c>
    </row>
    <row r="18" spans="2:5" x14ac:dyDescent="0.35">
      <c r="B18" s="2" t="s">
        <v>14</v>
      </c>
      <c r="C18" s="3">
        <v>639</v>
      </c>
      <c r="D18" s="3">
        <v>638</v>
      </c>
      <c r="E18" s="2" cm="1">
        <f t="array" ref="E18">_xlfn.IFS($C18="", 0,$C18=$D18, 0,$C18&lt;$D18,-1,$C18&gt;$D18, 1)</f>
        <v>1</v>
      </c>
    </row>
    <row r="19" spans="2:5" x14ac:dyDescent="0.35">
      <c r="B19" s="2" t="s">
        <v>15</v>
      </c>
      <c r="C19" s="3">
        <v>640</v>
      </c>
      <c r="D19" s="3">
        <v>635</v>
      </c>
      <c r="E19" s="2" cm="1">
        <f t="array" ref="E19">_xlfn.IFS($C19="", 0,$C19=$D19, 0,$C19&lt;$D19,-1,$C19&gt;$D19, 1)</f>
        <v>1</v>
      </c>
    </row>
    <row r="20" spans="2:5" x14ac:dyDescent="0.35">
      <c r="B20" s="2" t="s">
        <v>16</v>
      </c>
      <c r="C20" s="3">
        <v>647</v>
      </c>
      <c r="D20" s="3">
        <v>643</v>
      </c>
      <c r="E20" s="2" cm="1">
        <f t="array" ref="E20">_xlfn.IFS($C20="", 0,$C20=$D20, 0,$C20&lt;$D20,-1,$C20&gt;$D20, 1)</f>
        <v>1</v>
      </c>
    </row>
    <row r="21" spans="2:5" x14ac:dyDescent="0.35">
      <c r="B21" s="2" t="s">
        <v>17</v>
      </c>
      <c r="C21" s="3">
        <v>642</v>
      </c>
      <c r="D21" s="3">
        <v>651</v>
      </c>
      <c r="E21" s="2" cm="1">
        <f t="array" ref="E21">_xlfn.IFS($C21="", 0,$C21=$D21, 0,$C21&lt;$D21,-1,$C21&gt;$D21, 1)</f>
        <v>-1</v>
      </c>
    </row>
    <row r="22" spans="2:5" x14ac:dyDescent="0.35">
      <c r="B22" s="2" t="s">
        <v>18</v>
      </c>
      <c r="C22" s="3">
        <v>650</v>
      </c>
      <c r="D22" s="3">
        <v>646</v>
      </c>
      <c r="E22" s="2" cm="1">
        <f t="array" ref="E22">_xlfn.IFS($C22="", 0,$C22=$D22, 0,$C22&lt;$D22,-1,$C22&gt;$D22, 1)</f>
        <v>1</v>
      </c>
    </row>
    <row r="23" spans="2:5" hidden="1" x14ac:dyDescent="0.35">
      <c r="B23" s="2" t="s">
        <v>19</v>
      </c>
      <c r="C23" s="3"/>
      <c r="D23" s="3">
        <v>66</v>
      </c>
      <c r="E23" s="2" cm="1">
        <f t="array" ref="E23">_xlfn.IFS($C23="", 0,$C23=$D23, 0,$C23&lt;$D23,-1,$C23&gt;$D23, 1)</f>
        <v>0</v>
      </c>
    </row>
    <row r="24" spans="2:5" hidden="1" x14ac:dyDescent="0.35">
      <c r="B24" s="2" t="s">
        <v>20</v>
      </c>
      <c r="C24" s="3"/>
      <c r="D24" s="3">
        <v>57</v>
      </c>
      <c r="E24" s="2" cm="1">
        <f t="array" ref="E24">_xlfn.IFS($C24="", 0,$C24=$D24, 0,$C24&lt;$D24,-1,$C24&gt;$D24, 1)</f>
        <v>0</v>
      </c>
    </row>
    <row r="25" spans="2:5" hidden="1" x14ac:dyDescent="0.35">
      <c r="B25" s="2" t="s">
        <v>21</v>
      </c>
      <c r="C25" s="3"/>
      <c r="D25" s="3">
        <v>115</v>
      </c>
      <c r="E25" s="2" cm="1">
        <f t="array" ref="E25">_xlfn.IFS($C25="", 0,$C25=$D25, 0,$C25&lt;$D25,-1,$C25&gt;$D25, 1)</f>
        <v>0</v>
      </c>
    </row>
    <row r="26" spans="2:5" hidden="1" x14ac:dyDescent="0.35">
      <c r="B26" s="2" t="s">
        <v>22</v>
      </c>
      <c r="C26" s="3"/>
      <c r="D26" s="3">
        <v>249</v>
      </c>
      <c r="E26" s="2" cm="1">
        <f t="array" ref="E26">_xlfn.IFS($C26="", 0,$C26=$D26, 0,$C26&lt;$D26,-1,$C26&gt;$D26, 1)</f>
        <v>0</v>
      </c>
    </row>
    <row r="27" spans="2:5" x14ac:dyDescent="0.35">
      <c r="B27" s="2" t="s">
        <v>23</v>
      </c>
      <c r="C27" s="3">
        <v>25</v>
      </c>
      <c r="D27" s="3">
        <v>26</v>
      </c>
      <c r="E27" s="2" cm="1">
        <f t="array" ref="E27">_xlfn.IFS($C27="", 0,$C27=$D27, 0,$C27&lt;$D27,-1,$C27&gt;$D27, 1)</f>
        <v>-1</v>
      </c>
    </row>
    <row r="28" spans="2:5" x14ac:dyDescent="0.35">
      <c r="B28" s="2" t="s">
        <v>24</v>
      </c>
      <c r="C28" s="3">
        <v>32</v>
      </c>
      <c r="D28" s="3">
        <v>33</v>
      </c>
      <c r="E28" s="2" cm="1">
        <f t="array" ref="E28">_xlfn.IFS($C28="", 0,$C28=$D28, 0,$C28&lt;$D28,-1,$C28&gt;$D28, 1)</f>
        <v>-1</v>
      </c>
    </row>
    <row r="29" spans="2:5" x14ac:dyDescent="0.35">
      <c r="B29" s="2" t="s">
        <v>25</v>
      </c>
      <c r="C29" s="3">
        <v>54</v>
      </c>
      <c r="D29" s="3">
        <v>54</v>
      </c>
      <c r="E29" s="2" cm="1">
        <f t="array" ref="E29">_xlfn.IFS($C29="", 0,$C29=$D29, 0,$C29&lt;$D29,-1,$C29&gt;$D29, 1)</f>
        <v>0</v>
      </c>
    </row>
    <row r="30" spans="2:5" x14ac:dyDescent="0.35">
      <c r="B30" s="2" t="s">
        <v>26</v>
      </c>
      <c r="C30" s="3">
        <v>61</v>
      </c>
      <c r="D30" s="3">
        <v>60</v>
      </c>
      <c r="E30" s="2" cm="1">
        <f t="array" ref="E30">_xlfn.IFS($C30="", 0,$C30=$D30, 0,$C30&lt;$D30,-1,$C30&gt;$D30, 1)</f>
        <v>1</v>
      </c>
    </row>
    <row r="31" spans="2:5" x14ac:dyDescent="0.35">
      <c r="B31" s="2" t="s">
        <v>27</v>
      </c>
      <c r="C31" s="3">
        <v>66</v>
      </c>
      <c r="D31" s="3">
        <v>67</v>
      </c>
      <c r="E31" s="2" cm="1">
        <f t="array" ref="E31">_xlfn.IFS($C31="", 0,$C31=$D31, 0,$C31&lt;$D31,-1,$C31&gt;$D31, 1)</f>
        <v>-1</v>
      </c>
    </row>
    <row r="32" spans="2:5" x14ac:dyDescent="0.35">
      <c r="B32" s="2" t="s">
        <v>28</v>
      </c>
      <c r="C32" s="3">
        <v>73</v>
      </c>
      <c r="D32" s="3">
        <v>74</v>
      </c>
      <c r="E32" s="2" cm="1">
        <f t="array" ref="E32">_xlfn.IFS($C32="", 0,$C32=$D32, 0,$C32&lt;$D32,-1,$C32&gt;$D32, 1)</f>
        <v>-1</v>
      </c>
    </row>
    <row r="33" spans="2:5" x14ac:dyDescent="0.35">
      <c r="B33" s="2" t="s">
        <v>29</v>
      </c>
      <c r="C33" s="3">
        <v>82</v>
      </c>
      <c r="D33" s="3">
        <v>82</v>
      </c>
      <c r="E33" s="2" cm="1">
        <f t="array" ref="E33">_xlfn.IFS($C33="", 0,$C33=$D33, 0,$C33&lt;$D33,-1,$C33&gt;$D33, 1)</f>
        <v>0</v>
      </c>
    </row>
    <row r="34" spans="2:5" x14ac:dyDescent="0.35">
      <c r="B34" s="2" t="s">
        <v>30</v>
      </c>
      <c r="C34" s="3">
        <v>87</v>
      </c>
      <c r="D34" s="3">
        <v>85</v>
      </c>
      <c r="E34" s="2" cm="1">
        <f t="array" ref="E34">_xlfn.IFS($C34="", 0,$C34=$D34, 0,$C34&lt;$D34,-1,$C34&gt;$D34, 1)</f>
        <v>1</v>
      </c>
    </row>
    <row r="35" spans="2:5" x14ac:dyDescent="0.35">
      <c r="B35" s="2" t="s">
        <v>31</v>
      </c>
      <c r="C35" s="3">
        <v>94</v>
      </c>
      <c r="D35" s="3">
        <v>96</v>
      </c>
      <c r="E35" s="2" cm="1">
        <f t="array" ref="E35">_xlfn.IFS($C35="", 0,$C35=$D35, 0,$C35&lt;$D35,-1,$C35&gt;$D35, 1)</f>
        <v>-1</v>
      </c>
    </row>
    <row r="36" spans="2:5" x14ac:dyDescent="0.35">
      <c r="B36" s="2" t="s">
        <v>32</v>
      </c>
      <c r="C36" s="3">
        <v>104</v>
      </c>
      <c r="D36" s="3">
        <v>102</v>
      </c>
      <c r="E36" s="2" cm="1">
        <f t="array" ref="E36">_xlfn.IFS($C36="", 0,$C36=$D36, 0,$C36&lt;$D36,-1,$C36&gt;$D36, 1)</f>
        <v>1</v>
      </c>
    </row>
    <row r="37" spans="2:5" hidden="1" x14ac:dyDescent="0.35">
      <c r="B37" s="2" t="s">
        <v>33</v>
      </c>
      <c r="C37" s="3"/>
      <c r="D37" s="3">
        <v>204</v>
      </c>
      <c r="E37" s="2" cm="1">
        <f t="array" ref="E37">_xlfn.IFS($C37="", 0,$C37=$D37, 0,$C37&lt;$D37,-1,$C37&gt;$D37, 1)</f>
        <v>0</v>
      </c>
    </row>
    <row r="38" spans="2:5" hidden="1" x14ac:dyDescent="0.35">
      <c r="B38" s="2" t="s">
        <v>34</v>
      </c>
      <c r="C38" s="3"/>
      <c r="D38" s="3">
        <v>202</v>
      </c>
      <c r="E38" s="2" cm="1">
        <f t="array" ref="E38">_xlfn.IFS($C38="", 0,$C38=$D38, 0,$C38&lt;$D38,-1,$C38&gt;$D38, 1)</f>
        <v>0</v>
      </c>
    </row>
    <row r="39" spans="2:5" x14ac:dyDescent="0.35">
      <c r="B39" s="2" t="s">
        <v>35</v>
      </c>
      <c r="C39" s="3">
        <v>531</v>
      </c>
      <c r="D39" s="3">
        <v>500</v>
      </c>
      <c r="E39" s="2" cm="1">
        <f t="array" ref="E39">_xlfn.IFS($C39="", 0,$C39=$D39, 0,$C39&lt;$D39,-1,$C39&gt;$D39, 1)</f>
        <v>1</v>
      </c>
    </row>
  </sheetData>
  <autoFilter ref="C3:D39" xr:uid="{BF8CF1A8-7B7A-4764-9721-D783EA60B9D0}">
    <filterColumn colId="0">
      <customFilters>
        <customFilter operator="notEqual" val=" "/>
      </customFilters>
    </filterColumn>
  </autoFilter>
  <mergeCells count="1">
    <mergeCell ref="C2:D2"/>
  </mergeCells>
  <phoneticPr fontId="1" type="noConversion"/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594F9726-7365-43D6-8D2E-14E19ED8239E}">
            <x14:iconSet iconSet="3Triangle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Triangles" iconId="0"/>
              <x14:cfIcon iconSet="3Triangles" iconId="1"/>
              <x14:cfIcon iconSet="3Triangles" iconId="2"/>
            </x14:iconSet>
          </x14:cfRule>
          <xm:sqref>E4:E39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2350E-5B56-4B69-A843-5FE9AF1A8DF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22407-604E-4E32-BF23-BFB8C5D0D02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Subsea 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Helio Souza</dc:creator>
  <cp:lastModifiedBy>Helio Souza</cp:lastModifiedBy>
  <dcterms:created xsi:type="dcterms:W3CDTF">2025-12-26T20:02:08Z</dcterms:created>
  <dcterms:modified xsi:type="dcterms:W3CDTF">2026-01-08T14:51:04Z</dcterms:modified>
</cp:coreProperties>
</file>